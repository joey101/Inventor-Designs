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20158_ad_unsw_edu_au/Documents/Inventor-Designs/MMAN1130 - Solidworks/Assignment/"/>
    </mc:Choice>
  </mc:AlternateContent>
  <xr:revisionPtr revIDLastSave="500" documentId="8_{F4B0E17F-937F-4A9C-BD86-E201DCC807CB}" xr6:coauthVersionLast="47" xr6:coauthVersionMax="47" xr10:uidLastSave="{10830C22-720A-47FE-AC73-C3D2C12C0339}"/>
  <bookViews>
    <workbookView xWindow="-28920" yWindow="-120" windowWidth="29040" windowHeight="15840" xr2:uid="{E7649BAB-C3F2-41BA-AB1C-15D4DC06C807}"/>
  </bookViews>
  <sheets>
    <sheet name="Cost Sheet" sheetId="1" r:id="rId1"/>
    <sheet name="Work Method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  <c r="K7" i="1"/>
  <c r="F7" i="1"/>
  <c r="D19" i="1"/>
  <c r="J20" i="1"/>
  <c r="K20" i="1"/>
  <c r="I20" i="1"/>
  <c r="F20" i="1"/>
  <c r="E20" i="1"/>
  <c r="D20" i="1"/>
  <c r="R4" i="1"/>
  <c r="O5" i="1" s="1"/>
  <c r="O7" i="1" s="1"/>
  <c r="K17" i="1"/>
  <c r="J17" i="1"/>
  <c r="I17" i="1"/>
  <c r="F17" i="1"/>
  <c r="E17" i="1"/>
  <c r="D17" i="1"/>
  <c r="K22" i="1"/>
  <c r="K19" i="1"/>
  <c r="J19" i="1"/>
  <c r="I19" i="1"/>
  <c r="K11" i="1"/>
  <c r="J11" i="1"/>
  <c r="J22" i="1" s="1"/>
  <c r="I11" i="1"/>
  <c r="I22" i="1" s="1"/>
  <c r="F19" i="1"/>
  <c r="E19" i="1"/>
  <c r="F11" i="1"/>
  <c r="F22" i="1" s="1"/>
  <c r="E11" i="1"/>
  <c r="E22" i="1" s="1"/>
  <c r="D11" i="1"/>
  <c r="D22" i="1" s="1"/>
  <c r="K23" i="1" l="1"/>
  <c r="K24" i="1" s="1"/>
  <c r="E23" i="1"/>
  <c r="E24" i="1" s="1"/>
  <c r="I23" i="1"/>
  <c r="I24" i="1" s="1"/>
  <c r="J23" i="1"/>
  <c r="J24" i="1" s="1"/>
  <c r="F23" i="1"/>
  <c r="D23" i="1"/>
  <c r="D24" i="1" s="1"/>
  <c r="F24" i="1" l="1"/>
</calcChain>
</file>

<file path=xl/sharedStrings.xml><?xml version="1.0" encoding="utf-8"?>
<sst xmlns="http://schemas.openxmlformats.org/spreadsheetml/2006/main" count="135" uniqueCount="71">
  <si>
    <t>Sand Casting</t>
  </si>
  <si>
    <t>Die Casting</t>
  </si>
  <si>
    <t>CNC Milling</t>
  </si>
  <si>
    <t>Quantity required</t>
  </si>
  <si>
    <t>Machine Setup Costs (M.S.C)</t>
  </si>
  <si>
    <t>Cost of Equipment (C.O.E)</t>
  </si>
  <si>
    <t>Depreciation on equipment (D.O.C)</t>
  </si>
  <si>
    <t>Production Capacity (PC)</t>
  </si>
  <si>
    <t>Direct Labour (DL)</t>
  </si>
  <si>
    <t>Total hours for run * wages</t>
  </si>
  <si>
    <t>Direct Material (DM)</t>
  </si>
  <si>
    <t>TOTAL COST</t>
  </si>
  <si>
    <t>Total Overheads</t>
  </si>
  <si>
    <t>Price per Unit</t>
  </si>
  <si>
    <t>Operating Cost (Sand, Electricity, etc)</t>
  </si>
  <si>
    <t>(ALIBABA 2021)</t>
  </si>
  <si>
    <t xml:space="preserve"> (Ali Baba Die 2021)</t>
  </si>
  <si>
    <t xml:space="preserve"> (ALI BABA CNC 2021)</t>
  </si>
  <si>
    <t>(Tutorial)</t>
  </si>
  <si>
    <t>(10-year life) (per year)</t>
  </si>
  <si>
    <t xml:space="preserve">/hr/shift </t>
  </si>
  <si>
    <t>/hr/shift</t>
  </si>
  <si>
    <t>Person</t>
  </si>
  <si>
    <t>People</t>
  </si>
  <si>
    <t>Primary</t>
  </si>
  <si>
    <t xml:space="preserve">Complemantary </t>
  </si>
  <si>
    <t>Time Taken (Quanity of units / per hour * 40)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</si>
  <si>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>Density of Aluminium = </t>
    </r>
  </si>
  <si>
    <r>
      <t>Ø</t>
    </r>
    <r>
      <rPr>
        <vertAlign val="superscript"/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Volume = mm</t>
    </r>
    <r>
      <rPr>
        <vertAlign val="superscript"/>
        <sz val="12"/>
        <color rgb="FF000000"/>
        <rFont val="Calibri"/>
        <family val="2"/>
        <scheme val="minor"/>
      </rPr>
      <t>3</t>
    </r>
  </si>
  <si>
    <r>
      <t xml:space="preserve">Aluminium Cost = AUD </t>
    </r>
    <r>
      <rPr>
        <sz val="12"/>
        <color rgb="FF000000"/>
        <rFont val="Calibri"/>
        <family val="2"/>
        <scheme val="minor"/>
      </rPr>
      <t>(finanzen.net GmbH 2019</t>
    </r>
  </si>
  <si>
    <t>kg</t>
  </si>
  <si>
    <t>g/mm^3</t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</si>
  <si>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>Mass =  gram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</si>
  <si>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 xml:space="preserve">Units =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</si>
  <si>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2"/>
        <color rgb="FF000000"/>
        <rFont val="Calibri"/>
        <family val="2"/>
        <scheme val="minor"/>
      </rPr>
      <t>Total mass = Kg</t>
    </r>
  </si>
  <si>
    <t>Electricity cost per week</t>
  </si>
  <si>
    <t>Part Name</t>
  </si>
  <si>
    <t>Quantity</t>
  </si>
  <si>
    <t>Operation Number</t>
  </si>
  <si>
    <t>Operation description</t>
  </si>
  <si>
    <t>Mould is placed in die casting machine</t>
  </si>
  <si>
    <t>Clamp the half dies together</t>
  </si>
  <si>
    <t>Apply the molten metal to create the mould</t>
  </si>
  <si>
    <t>Cooling time</t>
  </si>
  <si>
    <t>Eject the mould</t>
  </si>
  <si>
    <t>Prepare the half dies</t>
  </si>
  <si>
    <t>Maintain pressure until the metal becomes solid</t>
  </si>
  <si>
    <t xml:space="preserve">Open die </t>
  </si>
  <si>
    <t>Eject part</t>
  </si>
  <si>
    <t>Trim excess metal - retreated before being reused</t>
  </si>
  <si>
    <t xml:space="preserve">Prepare the half dies to repeat </t>
  </si>
  <si>
    <t>Sweeping pass is applied to improve surface finish</t>
  </si>
  <si>
    <t>Die Cast Machine</t>
  </si>
  <si>
    <t>Cleaning and Lubcricating</t>
  </si>
  <si>
    <t>Furnace and ladle</t>
  </si>
  <si>
    <t>Band saw</t>
  </si>
  <si>
    <t>Vibration Deburring</t>
  </si>
  <si>
    <t>The holes and surfaces is cleaned</t>
  </si>
  <si>
    <t>Shotblasting</t>
  </si>
  <si>
    <t>Machine and Tools</t>
  </si>
  <si>
    <t>Risk Assessment</t>
  </si>
  <si>
    <t>L</t>
  </si>
  <si>
    <t>H</t>
  </si>
  <si>
    <t>M</t>
  </si>
  <si>
    <t xml:space="preserve">Primary and Complementary Component </t>
  </si>
  <si>
    <t>Total Time</t>
  </si>
  <si>
    <t>Time (min)</t>
  </si>
  <si>
    <t>Operation</t>
  </si>
  <si>
    <t>Cold Chamber Die Casting</t>
  </si>
  <si>
    <t>seconds</t>
  </si>
  <si>
    <t xml:space="preserve">Apply the molten metal to the machine at high pressure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</si>
</sst>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2"/>
      <color rgb="FF000000"/>
      <name val="Wingdings"/>
      <charset val="2"/>
    </font>
    <font>
      <sz val="7"/>
      <color rgb="FF000000"/>
      <name val="Times New Roman"/>
      <family val="1"/>
    </font>
    <font>
      <vertAlign val="superscript"/>
      <sz val="12"/>
      <color rgb="FF000000"/>
      <name val="Calibri"/>
      <family val="2"/>
      <scheme val="minor"/>
    </font>
    <font>
      <vertAlign val="superscript"/>
      <sz val="12"/>
      <color rgb="FF000000"/>
      <name val="Wingdings"/>
      <charset val="2"/>
    </font>
    <font>
      <vertAlign val="superscript"/>
      <sz val="7"/>
      <color rgb="FF000000"/>
      <name val="Times New Roman"/>
      <family val="1"/>
    </font>
    <font>
      <b/>
      <sz val="13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theme="4" tint="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theme="4" tint="0.49998474074526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13" fillId="0" borderId="13" applyNumberFormat="0" applyFill="0" applyAlignment="0" applyProtection="0"/>
  </cellStyleXfs>
  <cellXfs count="66">
    <xf numFmtId="0" fontId="0" fillId="0" borderId="0" xfId="0"/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6" fontId="6" fillId="0" borderId="5" xfId="0" applyNumberFormat="1" applyFont="1" applyBorder="1" applyAlignment="1">
      <alignment horizontal="center" vertical="center" wrapText="1"/>
    </xf>
    <xf numFmtId="8" fontId="4" fillId="0" borderId="5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1" applyNumberFormat="1" applyFont="1" applyBorder="1" applyAlignment="1">
      <alignment horizontal="center" vertical="center" wrapText="1"/>
    </xf>
    <xf numFmtId="6" fontId="6" fillId="0" borderId="8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164" fontId="6" fillId="0" borderId="4" xfId="1" applyNumberFormat="1" applyFont="1" applyBorder="1" applyAlignment="1">
      <alignment horizontal="center" vertical="center" wrapText="1"/>
    </xf>
    <xf numFmtId="0" fontId="3" fillId="2" borderId="4" xfId="3" applyBorder="1" applyAlignment="1">
      <alignment horizontal="center" vertical="center" wrapText="1"/>
    </xf>
    <xf numFmtId="0" fontId="3" fillId="2" borderId="5" xfId="3" applyBorder="1" applyAlignment="1">
      <alignment horizontal="center" vertical="center" wrapText="1"/>
    </xf>
    <xf numFmtId="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8" fontId="6" fillId="0" borderId="2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6" fontId="0" fillId="0" borderId="0" xfId="0" applyNumberFormat="1"/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8" fillId="0" borderId="0" xfId="0" applyFont="1" applyAlignment="1">
      <alignment horizontal="left" vertical="center" indent="5"/>
    </xf>
    <xf numFmtId="0" fontId="11" fillId="0" borderId="0" xfId="0" applyFont="1" applyAlignment="1">
      <alignment horizontal="left" vertical="center" indent="5"/>
    </xf>
    <xf numFmtId="0" fontId="8" fillId="0" borderId="0" xfId="0" applyFont="1" applyAlignment="1">
      <alignment vertical="center"/>
    </xf>
    <xf numFmtId="8" fontId="0" fillId="0" borderId="0" xfId="0" applyNumberFormat="1"/>
    <xf numFmtId="6" fontId="6" fillId="0" borderId="8" xfId="0" applyNumberFormat="1" applyFont="1" applyBorder="1" applyAlignment="1">
      <alignment horizontal="center" vertical="center" wrapText="1"/>
    </xf>
    <xf numFmtId="6" fontId="6" fillId="0" borderId="4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1" xfId="2" applyAlignment="1">
      <alignment horizontal="center"/>
    </xf>
    <xf numFmtId="6" fontId="4" fillId="0" borderId="8" xfId="0" applyNumberFormat="1" applyFont="1" applyBorder="1" applyAlignment="1">
      <alignment horizontal="center" vertical="center" wrapText="1"/>
    </xf>
    <xf numFmtId="6" fontId="4" fillId="0" borderId="4" xfId="0" applyNumberFormat="1" applyFont="1" applyBorder="1" applyAlignment="1">
      <alignment horizontal="center" vertical="center" wrapText="1"/>
    </xf>
    <xf numFmtId="0" fontId="0" fillId="0" borderId="15" xfId="0" applyBorder="1"/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3" fillId="0" borderId="16" xfId="4" applyBorder="1" applyAlignment="1">
      <alignment horizontal="center" vertical="center"/>
    </xf>
    <xf numFmtId="0" fontId="13" fillId="0" borderId="17" xfId="4" applyBorder="1" applyAlignment="1">
      <alignment horizontal="center" vertical="center"/>
    </xf>
    <xf numFmtId="0" fontId="13" fillId="0" borderId="5" xfId="4" applyBorder="1" applyAlignment="1">
      <alignment horizontal="center" vertical="center"/>
    </xf>
    <xf numFmtId="0" fontId="13" fillId="0" borderId="4" xfId="4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13" fillId="0" borderId="15" xfId="4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Fill="1" applyBorder="1"/>
    <xf numFmtId="3" fontId="0" fillId="0" borderId="17" xfId="0" applyNumberForma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3" fillId="0" borderId="7" xfId="4" applyBorder="1" applyAlignment="1">
      <alignment horizontal="center" vertical="center"/>
    </xf>
    <xf numFmtId="0" fontId="13" fillId="0" borderId="20" xfId="4" applyBorder="1" applyAlignment="1">
      <alignment horizontal="center" vertical="center"/>
    </xf>
    <xf numFmtId="0" fontId="13" fillId="0" borderId="18" xfId="4" applyBorder="1" applyAlignment="1">
      <alignment horizontal="center"/>
    </xf>
    <xf numFmtId="0" fontId="13" fillId="0" borderId="16" xfId="4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3" xfId="0" applyBorder="1" applyAlignment="1">
      <alignment horizontal="center"/>
    </xf>
  </cellXfs>
  <cellStyles count="5">
    <cellStyle name="Currency" xfId="1" builtinId="4"/>
    <cellStyle name="Heading 1" xfId="2" builtinId="16"/>
    <cellStyle name="Heading 2" xfId="4" builtinId="1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E931-9A33-4017-8294-81AD69FA7DBE}">
  <dimension ref="C2:R31"/>
  <sheetViews>
    <sheetView tabSelected="1" zoomScale="40" zoomScaleNormal="40" workbookViewId="0">
      <selection activeCell="H2" sqref="H2:K24"/>
    </sheetView>
  </sheetViews>
  <sheetFormatPr defaultRowHeight="15" x14ac:dyDescent="0.25"/>
  <cols>
    <col min="3" max="6" width="39" customWidth="1"/>
    <col min="8" max="11" width="34.5703125" customWidth="1"/>
    <col min="14" max="14" width="53.85546875" bestFit="1" customWidth="1"/>
    <col min="15" max="15" width="12.42578125" bestFit="1" customWidth="1"/>
  </cols>
  <sheetData>
    <row r="2" spans="3:18" ht="20.25" thickBot="1" x14ac:dyDescent="0.35">
      <c r="C2" s="38" t="s">
        <v>24</v>
      </c>
      <c r="D2" s="38"/>
      <c r="E2" s="38"/>
      <c r="F2" s="38"/>
      <c r="H2" s="38" t="s">
        <v>25</v>
      </c>
      <c r="I2" s="38"/>
      <c r="J2" s="38"/>
      <c r="K2" s="38"/>
    </row>
    <row r="3" spans="3:18" ht="52.5" customHeight="1" thickTop="1" thickBot="1" x14ac:dyDescent="0.3">
      <c r="C3" s="1"/>
      <c r="D3" s="2" t="s">
        <v>0</v>
      </c>
      <c r="E3" s="2" t="s">
        <v>1</v>
      </c>
      <c r="F3" s="2" t="s">
        <v>2</v>
      </c>
      <c r="H3" s="1"/>
      <c r="I3" s="2" t="s">
        <v>0</v>
      </c>
      <c r="J3" s="2" t="s">
        <v>1</v>
      </c>
      <c r="K3" s="2" t="s">
        <v>2</v>
      </c>
      <c r="N3" s="31" t="s">
        <v>27</v>
      </c>
      <c r="O3">
        <v>2.7000000000000001E-3</v>
      </c>
      <c r="P3" t="s">
        <v>31</v>
      </c>
      <c r="Q3" s="31"/>
      <c r="R3" s="31"/>
    </row>
    <row r="4" spans="3:18" ht="38.25" customHeight="1" thickBot="1" x14ac:dyDescent="0.3">
      <c r="C4" s="3" t="s">
        <v>3</v>
      </c>
      <c r="D4" s="4">
        <v>50000</v>
      </c>
      <c r="E4" s="4">
        <v>50000</v>
      </c>
      <c r="F4" s="4">
        <v>50000</v>
      </c>
      <c r="H4" s="3" t="s">
        <v>3</v>
      </c>
      <c r="I4" s="4">
        <v>50000</v>
      </c>
      <c r="J4" s="4">
        <v>50000</v>
      </c>
      <c r="K4" s="4">
        <v>50000</v>
      </c>
      <c r="N4" s="30" t="s">
        <v>28</v>
      </c>
      <c r="O4">
        <v>50</v>
      </c>
      <c r="P4">
        <v>50</v>
      </c>
      <c r="Q4">
        <v>12</v>
      </c>
      <c r="R4">
        <f>O4*P4*Q4</f>
        <v>30000</v>
      </c>
    </row>
    <row r="5" spans="3:18" ht="52.5" customHeight="1" x14ac:dyDescent="0.25">
      <c r="C5" s="14" t="s">
        <v>4</v>
      </c>
      <c r="D5" s="12">
        <v>25000</v>
      </c>
      <c r="E5" s="12">
        <v>125000</v>
      </c>
      <c r="F5" s="15"/>
      <c r="H5" s="14" t="s">
        <v>4</v>
      </c>
      <c r="I5" s="12">
        <v>25000</v>
      </c>
      <c r="J5" s="12">
        <v>125000</v>
      </c>
      <c r="K5" s="15"/>
      <c r="N5" s="29" t="s">
        <v>32</v>
      </c>
      <c r="O5">
        <f>R4*O3</f>
        <v>81</v>
      </c>
    </row>
    <row r="6" spans="3:18" ht="52.5" customHeight="1" thickBot="1" x14ac:dyDescent="0.3">
      <c r="C6" s="3"/>
      <c r="D6" s="16" t="s">
        <v>18</v>
      </c>
      <c r="E6" s="16" t="s">
        <v>18</v>
      </c>
      <c r="F6" s="13"/>
      <c r="H6" s="3"/>
      <c r="I6" s="16" t="s">
        <v>18</v>
      </c>
      <c r="J6" s="16" t="s">
        <v>18</v>
      </c>
      <c r="K6" s="13"/>
      <c r="N6" s="29" t="s">
        <v>33</v>
      </c>
      <c r="O6">
        <v>100000</v>
      </c>
    </row>
    <row r="7" spans="3:18" ht="45.75" customHeight="1" x14ac:dyDescent="0.25">
      <c r="C7" s="36" t="s">
        <v>14</v>
      </c>
      <c r="D7" s="11">
        <v>20000</v>
      </c>
      <c r="E7" s="11">
        <v>25000</v>
      </c>
      <c r="F7" s="22">
        <f>O11*F17</f>
        <v>2150</v>
      </c>
      <c r="H7" s="36" t="s">
        <v>14</v>
      </c>
      <c r="I7" s="11">
        <v>20000</v>
      </c>
      <c r="J7" s="11">
        <v>25000</v>
      </c>
      <c r="K7" s="22">
        <f>$O$11*K17</f>
        <v>2150</v>
      </c>
      <c r="N7" s="29" t="s">
        <v>34</v>
      </c>
      <c r="O7">
        <f>O6*O5/10^3</f>
        <v>8100</v>
      </c>
    </row>
    <row r="8" spans="3:18" ht="45.75" customHeight="1" thickBot="1" x14ac:dyDescent="0.3">
      <c r="C8" s="37"/>
      <c r="D8" s="11" t="s">
        <v>18</v>
      </c>
      <c r="E8" s="11" t="s">
        <v>18</v>
      </c>
      <c r="F8" s="5"/>
      <c r="H8" s="37"/>
      <c r="I8" s="11" t="s">
        <v>18</v>
      </c>
      <c r="J8" s="11" t="s">
        <v>18</v>
      </c>
      <c r="K8" s="5"/>
      <c r="N8" t="s">
        <v>29</v>
      </c>
      <c r="O8" s="32">
        <v>3.51</v>
      </c>
      <c r="P8" t="s">
        <v>30</v>
      </c>
    </row>
    <row r="9" spans="3:18" ht="59.25" customHeight="1" x14ac:dyDescent="0.25">
      <c r="C9" s="35" t="s">
        <v>5</v>
      </c>
      <c r="D9" s="12">
        <v>85000</v>
      </c>
      <c r="E9" s="12">
        <v>29952</v>
      </c>
      <c r="F9" s="12">
        <v>15000</v>
      </c>
      <c r="H9" s="35" t="s">
        <v>5</v>
      </c>
      <c r="I9" s="12">
        <v>85000</v>
      </c>
      <c r="J9" s="12">
        <v>29952</v>
      </c>
      <c r="K9" s="12">
        <v>15000</v>
      </c>
    </row>
    <row r="10" spans="3:18" ht="15.75" thickBot="1" x14ac:dyDescent="0.3">
      <c r="C10" s="37"/>
      <c r="D10" s="3" t="s">
        <v>15</v>
      </c>
      <c r="E10" s="3" t="s">
        <v>16</v>
      </c>
      <c r="F10" s="3" t="s">
        <v>17</v>
      </c>
      <c r="H10" s="37"/>
      <c r="I10" s="3" t="s">
        <v>15</v>
      </c>
      <c r="J10" s="3" t="s">
        <v>16</v>
      </c>
      <c r="K10" s="3" t="s">
        <v>17</v>
      </c>
    </row>
    <row r="11" spans="3:18" ht="45.75" customHeight="1" x14ac:dyDescent="0.25">
      <c r="C11" s="5" t="s">
        <v>6</v>
      </c>
      <c r="D11" s="39">
        <f>57700/10</f>
        <v>5770</v>
      </c>
      <c r="E11" s="33">
        <f>19508/10</f>
        <v>1950.8</v>
      </c>
      <c r="F11" s="33">
        <f>8926/10</f>
        <v>892.6</v>
      </c>
      <c r="H11" s="5" t="s">
        <v>6</v>
      </c>
      <c r="I11" s="39">
        <f>57700/10</f>
        <v>5770</v>
      </c>
      <c r="J11" s="33">
        <f>19508/10</f>
        <v>1950.8</v>
      </c>
      <c r="K11" s="33">
        <f>8926/10</f>
        <v>892.6</v>
      </c>
      <c r="N11" t="s">
        <v>35</v>
      </c>
      <c r="O11">
        <v>13.76</v>
      </c>
    </row>
    <row r="12" spans="3:18" ht="45.75" customHeight="1" thickBot="1" x14ac:dyDescent="0.3">
      <c r="C12" s="3" t="s">
        <v>19</v>
      </c>
      <c r="D12" s="40"/>
      <c r="E12" s="34"/>
      <c r="F12" s="34"/>
      <c r="H12" s="3" t="s">
        <v>19</v>
      </c>
      <c r="I12" s="40"/>
      <c r="J12" s="34"/>
      <c r="K12" s="34"/>
    </row>
    <row r="13" spans="3:18" ht="23.25" customHeight="1" x14ac:dyDescent="0.25">
      <c r="C13" s="35" t="s">
        <v>7</v>
      </c>
      <c r="D13" s="14">
        <v>20</v>
      </c>
      <c r="E13" s="14">
        <v>300</v>
      </c>
      <c r="F13" s="14">
        <v>8</v>
      </c>
      <c r="H13" s="35" t="s">
        <v>7</v>
      </c>
      <c r="I13" s="14">
        <v>20</v>
      </c>
      <c r="J13" s="14">
        <v>300</v>
      </c>
      <c r="K13" s="14">
        <v>8</v>
      </c>
    </row>
    <row r="14" spans="3:18" ht="23.25" customHeight="1" x14ac:dyDescent="0.25">
      <c r="C14" s="36"/>
      <c r="D14" s="5" t="s">
        <v>20</v>
      </c>
      <c r="E14" s="5" t="s">
        <v>20</v>
      </c>
      <c r="F14" s="5" t="s">
        <v>21</v>
      </c>
      <c r="H14" s="36"/>
      <c r="I14" s="5" t="s">
        <v>20</v>
      </c>
      <c r="J14" s="5" t="s">
        <v>20</v>
      </c>
      <c r="K14" s="5" t="s">
        <v>21</v>
      </c>
    </row>
    <row r="15" spans="3:18" ht="23.25" customHeight="1" x14ac:dyDescent="0.25">
      <c r="C15" s="36"/>
      <c r="D15" s="5">
        <v>4</v>
      </c>
      <c r="E15" s="5">
        <v>2</v>
      </c>
      <c r="F15" s="5">
        <v>1</v>
      </c>
      <c r="H15" s="36"/>
      <c r="I15" s="5">
        <v>4</v>
      </c>
      <c r="J15" s="5">
        <v>2</v>
      </c>
      <c r="K15" s="5">
        <v>1</v>
      </c>
    </row>
    <row r="16" spans="3:18" ht="23.25" customHeight="1" thickBot="1" x14ac:dyDescent="0.3">
      <c r="C16" s="36"/>
      <c r="D16" s="10" t="s">
        <v>23</v>
      </c>
      <c r="E16" s="10" t="s">
        <v>22</v>
      </c>
      <c r="F16" s="10" t="s">
        <v>22</v>
      </c>
      <c r="H16" s="37"/>
      <c r="I16" s="3" t="s">
        <v>23</v>
      </c>
      <c r="J16" s="3" t="s">
        <v>22</v>
      </c>
      <c r="K16" s="3" t="s">
        <v>22</v>
      </c>
      <c r="N16">
        <f>60/300</f>
        <v>0.2</v>
      </c>
    </row>
    <row r="17" spans="3:11" ht="60" customHeight="1" thickBot="1" x14ac:dyDescent="0.3">
      <c r="C17" s="28" t="s">
        <v>26</v>
      </c>
      <c r="D17" s="26">
        <f>D4/(D13*40)</f>
        <v>62.5</v>
      </c>
      <c r="E17" s="26">
        <f>E4/(E13*40)</f>
        <v>4.166666666666667</v>
      </c>
      <c r="F17" s="27">
        <f>F4/(F13*40)</f>
        <v>156.25</v>
      </c>
      <c r="H17" s="28" t="s">
        <v>26</v>
      </c>
      <c r="I17" s="24">
        <f>I4/(I13*40)</f>
        <v>62.5</v>
      </c>
      <c r="J17" s="24">
        <f>J4/(J13*40)</f>
        <v>4.166666666666667</v>
      </c>
      <c r="K17" s="25">
        <f>K4/(K13*40)</f>
        <v>156.25</v>
      </c>
    </row>
    <row r="18" spans="3:11" ht="42.75" customHeight="1" x14ac:dyDescent="0.25">
      <c r="C18" s="36" t="s">
        <v>8</v>
      </c>
      <c r="D18" s="6" t="s">
        <v>9</v>
      </c>
      <c r="E18" s="6" t="s">
        <v>9</v>
      </c>
      <c r="F18" s="6" t="s">
        <v>9</v>
      </c>
      <c r="H18" s="36" t="s">
        <v>8</v>
      </c>
      <c r="I18" s="6" t="s">
        <v>9</v>
      </c>
      <c r="J18" s="6" t="s">
        <v>9</v>
      </c>
      <c r="K18" s="6" t="s">
        <v>9</v>
      </c>
    </row>
    <row r="19" spans="3:11" ht="42.75" customHeight="1" thickBot="1" x14ac:dyDescent="0.3">
      <c r="C19" s="37"/>
      <c r="D19" s="7">
        <f>D4/D13*8.85*D15</f>
        <v>88500</v>
      </c>
      <c r="E19" s="7">
        <f t="shared" ref="E19" si="0">E4/E13*8.85*E15</f>
        <v>2949.9999999999995</v>
      </c>
      <c r="F19" s="7">
        <f>F4/F13*30*F15</f>
        <v>187500</v>
      </c>
      <c r="H19" s="37"/>
      <c r="I19" s="7">
        <f>I4/I13*8.85*I15</f>
        <v>88500</v>
      </c>
      <c r="J19" s="7">
        <f t="shared" ref="J19" si="1">J4/J13*8.85*J15</f>
        <v>2949.9999999999995</v>
      </c>
      <c r="K19" s="7">
        <f>K4/K13*30*K15</f>
        <v>187500</v>
      </c>
    </row>
    <row r="20" spans="3:11" ht="42.75" customHeight="1" thickBot="1" x14ac:dyDescent="0.3">
      <c r="C20" s="3" t="s">
        <v>10</v>
      </c>
      <c r="D20" s="8">
        <f>$O$7*$O$8/2</f>
        <v>14215.5</v>
      </c>
      <c r="E20" s="8">
        <f>$O$7*$O$8/2</f>
        <v>14215.5</v>
      </c>
      <c r="F20" s="8">
        <f>$O$7*$O$8/2</f>
        <v>14215.5</v>
      </c>
      <c r="H20" s="3" t="s">
        <v>10</v>
      </c>
      <c r="I20" s="8">
        <f>$O$7*$O$8/2</f>
        <v>14215.5</v>
      </c>
      <c r="J20" s="8">
        <f t="shared" ref="J20:K20" si="2">$O$7*$O$8/2</f>
        <v>14215.5</v>
      </c>
      <c r="K20" s="8">
        <f t="shared" si="2"/>
        <v>14215.5</v>
      </c>
    </row>
    <row r="21" spans="3:11" ht="15.75" thickBot="1" x14ac:dyDescent="0.3">
      <c r="C21" s="17"/>
      <c r="D21" s="18"/>
      <c r="E21" s="18"/>
      <c r="F21" s="18"/>
      <c r="H21" s="17"/>
      <c r="I21" s="18"/>
      <c r="J21" s="18"/>
      <c r="K21" s="18"/>
    </row>
    <row r="22" spans="3:11" ht="66" customHeight="1" thickBot="1" x14ac:dyDescent="0.3">
      <c r="C22" s="9" t="s">
        <v>12</v>
      </c>
      <c r="D22" s="7">
        <f>SUM(D5,D7,D11)</f>
        <v>50770</v>
      </c>
      <c r="E22" s="7">
        <f>SUM(E5,E7,E11)</f>
        <v>151950.79999999999</v>
      </c>
      <c r="F22" s="7">
        <f>SUM(F5,F7,F11)</f>
        <v>3042.6</v>
      </c>
      <c r="H22" s="9" t="s">
        <v>12</v>
      </c>
      <c r="I22" s="7">
        <f>SUM(I5,I7,I11)</f>
        <v>50770</v>
      </c>
      <c r="J22" s="7">
        <f>SUM(J5,J7,J11)</f>
        <v>151950.79999999999</v>
      </c>
      <c r="K22" s="7">
        <f>SUM(K5,K7,K11)</f>
        <v>3042.6</v>
      </c>
    </row>
    <row r="23" spans="3:11" ht="66" customHeight="1" thickBot="1" x14ac:dyDescent="0.3">
      <c r="C23" s="3" t="s">
        <v>11</v>
      </c>
      <c r="D23" s="19">
        <f>SUM(D19,D20,D22)</f>
        <v>153485.5</v>
      </c>
      <c r="E23" s="19">
        <f>SUM(E19,E20,E22)</f>
        <v>169116.3</v>
      </c>
      <c r="F23" s="19">
        <f>SUM(F19,F20,F22)</f>
        <v>204758.1</v>
      </c>
      <c r="H23" s="3" t="s">
        <v>11</v>
      </c>
      <c r="I23" s="19">
        <f>SUM(I19,I20,I22)</f>
        <v>153485.5</v>
      </c>
      <c r="J23" s="19">
        <f>SUM(J19,J20,J22)</f>
        <v>169116.3</v>
      </c>
      <c r="K23" s="19">
        <f>SUM(K19,K20,K22)</f>
        <v>204758.1</v>
      </c>
    </row>
    <row r="24" spans="3:11" ht="66" customHeight="1" thickBot="1" x14ac:dyDescent="0.3">
      <c r="C24" s="20" t="s">
        <v>13</v>
      </c>
      <c r="D24" s="21">
        <f>D23/D4</f>
        <v>3.0697100000000002</v>
      </c>
      <c r="E24" s="21">
        <f t="shared" ref="E24:F24" si="3">E23/E4</f>
        <v>3.3823259999999999</v>
      </c>
      <c r="F24" s="21">
        <f t="shared" si="3"/>
        <v>4.0951620000000002</v>
      </c>
      <c r="H24" s="20" t="s">
        <v>13</v>
      </c>
      <c r="I24" s="21">
        <f t="shared" ref="I24" si="4">I23/I4</f>
        <v>3.0697100000000002</v>
      </c>
      <c r="J24" s="21">
        <f t="shared" ref="J24" si="5">J23/J4</f>
        <v>3.3823259999999999</v>
      </c>
      <c r="K24" s="21">
        <f t="shared" ref="K24" si="6">K23/K4</f>
        <v>4.0951620000000002</v>
      </c>
    </row>
    <row r="25" spans="3:11" ht="66" customHeight="1" x14ac:dyDescent="0.25"/>
    <row r="26" spans="3:11" ht="66" customHeight="1" x14ac:dyDescent="0.25"/>
    <row r="27" spans="3:11" ht="66" customHeight="1" x14ac:dyDescent="0.25"/>
    <row r="29" spans="3:11" x14ac:dyDescent="0.25">
      <c r="F29" s="23"/>
    </row>
    <row r="30" spans="3:11" x14ac:dyDescent="0.25">
      <c r="F30" s="23"/>
    </row>
    <row r="31" spans="3:11" x14ac:dyDescent="0.25">
      <c r="F31" s="23"/>
    </row>
  </sheetData>
  <mergeCells count="16">
    <mergeCell ref="K11:K12"/>
    <mergeCell ref="H13:H16"/>
    <mergeCell ref="H18:H19"/>
    <mergeCell ref="C2:F2"/>
    <mergeCell ref="H2:K2"/>
    <mergeCell ref="H7:H8"/>
    <mergeCell ref="H9:H10"/>
    <mergeCell ref="I11:I12"/>
    <mergeCell ref="J11:J12"/>
    <mergeCell ref="D11:D12"/>
    <mergeCell ref="E11:E12"/>
    <mergeCell ref="F11:F12"/>
    <mergeCell ref="C18:C19"/>
    <mergeCell ref="C13:C16"/>
    <mergeCell ref="C9:C10"/>
    <mergeCell ref="C7:C8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BBF9-46A3-45FF-AFF9-B45DDD4032EE}">
  <dimension ref="E2:I23"/>
  <sheetViews>
    <sheetView workbookViewId="0">
      <selection activeCell="E3" sqref="E3:I23"/>
    </sheetView>
  </sheetViews>
  <sheetFormatPr defaultRowHeight="15" x14ac:dyDescent="0.25"/>
  <cols>
    <col min="5" max="5" width="20.7109375" bestFit="1" customWidth="1"/>
    <col min="6" max="6" width="65.5703125" bestFit="1" customWidth="1"/>
    <col min="7" max="7" width="23.85546875" bestFit="1" customWidth="1"/>
    <col min="8" max="8" width="23.85546875" customWidth="1"/>
    <col min="9" max="9" width="18.42578125" bestFit="1" customWidth="1"/>
  </cols>
  <sheetData>
    <row r="2" spans="5:9" ht="15.75" thickBot="1" x14ac:dyDescent="0.3"/>
    <row r="3" spans="5:9" ht="18" thickBot="1" x14ac:dyDescent="0.35">
      <c r="E3" s="62" t="s">
        <v>67</v>
      </c>
      <c r="F3" s="53" t="s">
        <v>68</v>
      </c>
      <c r="G3" s="41"/>
    </row>
    <row r="4" spans="5:9" ht="18.75" thickTop="1" thickBot="1" x14ac:dyDescent="0.3">
      <c r="E4" s="61" t="s">
        <v>36</v>
      </c>
      <c r="F4" s="59" t="s">
        <v>64</v>
      </c>
      <c r="G4" s="60"/>
    </row>
    <row r="5" spans="5:9" ht="18.75" thickTop="1" thickBot="1" x14ac:dyDescent="0.35">
      <c r="E5" s="63" t="s">
        <v>37</v>
      </c>
      <c r="F5" s="58">
        <v>100000</v>
      </c>
      <c r="G5" s="42"/>
      <c r="H5" s="54"/>
      <c r="I5" s="43"/>
    </row>
    <row r="6" spans="5:9" ht="18" thickBot="1" x14ac:dyDescent="0.3">
      <c r="E6" s="49" t="s">
        <v>38</v>
      </c>
      <c r="F6" s="50" t="s">
        <v>39</v>
      </c>
      <c r="G6" s="51" t="s">
        <v>59</v>
      </c>
      <c r="H6" s="51" t="s">
        <v>66</v>
      </c>
      <c r="I6" s="52" t="s">
        <v>60</v>
      </c>
    </row>
    <row r="7" spans="5:9" x14ac:dyDescent="0.25">
      <c r="E7" s="45">
        <v>1</v>
      </c>
      <c r="F7" s="46" t="s">
        <v>40</v>
      </c>
      <c r="G7" s="44" t="s">
        <v>52</v>
      </c>
      <c r="H7" s="44"/>
      <c r="I7" s="46" t="s">
        <v>63</v>
      </c>
    </row>
    <row r="8" spans="5:9" x14ac:dyDescent="0.25">
      <c r="E8" s="45">
        <v>2</v>
      </c>
      <c r="F8" s="46" t="s">
        <v>41</v>
      </c>
      <c r="G8" s="44" t="s">
        <v>52</v>
      </c>
      <c r="H8" s="44"/>
      <c r="I8" s="46" t="s">
        <v>61</v>
      </c>
    </row>
    <row r="9" spans="5:9" x14ac:dyDescent="0.25">
      <c r="E9" s="45">
        <v>3</v>
      </c>
      <c r="F9" s="46" t="s">
        <v>42</v>
      </c>
      <c r="G9" s="44" t="s">
        <v>52</v>
      </c>
      <c r="H9" s="44"/>
      <c r="I9" s="46" t="s">
        <v>63</v>
      </c>
    </row>
    <row r="10" spans="5:9" x14ac:dyDescent="0.25">
      <c r="E10" s="45">
        <v>4</v>
      </c>
      <c r="F10" s="46" t="s">
        <v>43</v>
      </c>
      <c r="G10" s="44" t="s">
        <v>52</v>
      </c>
      <c r="H10" s="44"/>
      <c r="I10" s="46" t="s">
        <v>61</v>
      </c>
    </row>
    <row r="11" spans="5:9" x14ac:dyDescent="0.25">
      <c r="E11" s="45">
        <v>5</v>
      </c>
      <c r="F11" s="46" t="s">
        <v>44</v>
      </c>
      <c r="G11" s="44" t="s">
        <v>52</v>
      </c>
      <c r="H11" s="44"/>
      <c r="I11" s="46" t="s">
        <v>63</v>
      </c>
    </row>
    <row r="12" spans="5:9" x14ac:dyDescent="0.25">
      <c r="E12" s="45">
        <v>6</v>
      </c>
      <c r="F12" s="46" t="s">
        <v>45</v>
      </c>
      <c r="G12" s="44" t="s">
        <v>53</v>
      </c>
      <c r="H12" s="44"/>
      <c r="I12" s="46" t="s">
        <v>61</v>
      </c>
    </row>
    <row r="13" spans="5:9" x14ac:dyDescent="0.25">
      <c r="E13" s="45">
        <v>7</v>
      </c>
      <c r="F13" s="46" t="s">
        <v>41</v>
      </c>
      <c r="G13" s="44" t="s">
        <v>52</v>
      </c>
      <c r="H13" s="44"/>
      <c r="I13" s="46" t="s">
        <v>61</v>
      </c>
    </row>
    <row r="14" spans="5:9" x14ac:dyDescent="0.25">
      <c r="E14" s="45">
        <v>8</v>
      </c>
      <c r="F14" s="46" t="s">
        <v>70</v>
      </c>
      <c r="G14" s="44" t="s">
        <v>54</v>
      </c>
      <c r="H14" s="44"/>
      <c r="I14" s="46" t="s">
        <v>62</v>
      </c>
    </row>
    <row r="15" spans="5:9" x14ac:dyDescent="0.25">
      <c r="E15" s="45">
        <v>9</v>
      </c>
      <c r="F15" s="46" t="s">
        <v>46</v>
      </c>
      <c r="G15" s="44" t="s">
        <v>52</v>
      </c>
      <c r="H15" s="44"/>
      <c r="I15" s="46" t="s">
        <v>61</v>
      </c>
    </row>
    <row r="16" spans="5:9" x14ac:dyDescent="0.25">
      <c r="E16" s="45">
        <v>10</v>
      </c>
      <c r="F16" s="46" t="s">
        <v>43</v>
      </c>
      <c r="G16" s="44" t="s">
        <v>52</v>
      </c>
      <c r="H16" s="44"/>
      <c r="I16" s="46" t="s">
        <v>61</v>
      </c>
    </row>
    <row r="17" spans="5:9" x14ac:dyDescent="0.25">
      <c r="E17" s="45">
        <v>11</v>
      </c>
      <c r="F17" s="46" t="s">
        <v>47</v>
      </c>
      <c r="G17" s="44" t="s">
        <v>52</v>
      </c>
      <c r="H17" s="44"/>
      <c r="I17" s="46" t="s">
        <v>61</v>
      </c>
    </row>
    <row r="18" spans="5:9" x14ac:dyDescent="0.25">
      <c r="E18" s="45">
        <v>12</v>
      </c>
      <c r="F18" s="46" t="s">
        <v>48</v>
      </c>
      <c r="G18" s="44" t="s">
        <v>52</v>
      </c>
      <c r="H18" s="44"/>
      <c r="I18" s="46" t="s">
        <v>61</v>
      </c>
    </row>
    <row r="19" spans="5:9" x14ac:dyDescent="0.25">
      <c r="E19" s="45">
        <v>13</v>
      </c>
      <c r="F19" s="46" t="s">
        <v>49</v>
      </c>
      <c r="G19" s="44" t="s">
        <v>55</v>
      </c>
      <c r="H19" s="44"/>
      <c r="I19" s="46" t="s">
        <v>63</v>
      </c>
    </row>
    <row r="20" spans="5:9" x14ac:dyDescent="0.25">
      <c r="E20" s="45">
        <v>14</v>
      </c>
      <c r="F20" s="46" t="s">
        <v>50</v>
      </c>
      <c r="G20" s="44" t="s">
        <v>53</v>
      </c>
      <c r="H20" s="44"/>
      <c r="I20" s="46" t="s">
        <v>61</v>
      </c>
    </row>
    <row r="21" spans="5:9" x14ac:dyDescent="0.25">
      <c r="E21" s="45">
        <v>15</v>
      </c>
      <c r="F21" s="46" t="s">
        <v>57</v>
      </c>
      <c r="G21" s="44" t="s">
        <v>58</v>
      </c>
      <c r="H21" s="44"/>
      <c r="I21" s="46" t="s">
        <v>61</v>
      </c>
    </row>
    <row r="22" spans="5:9" ht="15.75" thickBot="1" x14ac:dyDescent="0.3">
      <c r="E22" s="45">
        <v>16</v>
      </c>
      <c r="F22" s="47" t="s">
        <v>51</v>
      </c>
      <c r="G22" s="48" t="s">
        <v>56</v>
      </c>
      <c r="H22" s="48"/>
      <c r="I22" s="47" t="s">
        <v>61</v>
      </c>
    </row>
    <row r="23" spans="5:9" ht="15.75" thickBot="1" x14ac:dyDescent="0.3">
      <c r="E23" s="55"/>
      <c r="F23" s="56"/>
      <c r="G23" s="57" t="s">
        <v>65</v>
      </c>
      <c r="H23" s="64">
        <v>20</v>
      </c>
      <c r="I23" s="65" t="s">
        <v>69</v>
      </c>
    </row>
  </sheetData>
  <mergeCells count="1">
    <mergeCell ref="E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 Sheet</vt:lpstr>
      <vt:lpstr>Work Method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Jawad Tanana</dc:creator>
  <cp:lastModifiedBy>Jawad Tanana</cp:lastModifiedBy>
  <dcterms:created xsi:type="dcterms:W3CDTF">2021-08-01T06:06:09Z</dcterms:created>
  <dcterms:modified xsi:type="dcterms:W3CDTF">2021-08-02T13:06:53Z</dcterms:modified>
</cp:coreProperties>
</file>